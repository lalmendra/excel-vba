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orpion\Desktop\db-excel\"/>
    </mc:Choice>
  </mc:AlternateContent>
  <xr:revisionPtr revIDLastSave="0" documentId="13_ncr:1_{4A806394-F247-4851-B206-5A51237F7710}" xr6:coauthVersionLast="47" xr6:coauthVersionMax="47" xr10:uidLastSave="{00000000-0000-0000-0000-000000000000}"/>
  <bookViews>
    <workbookView xWindow="-20520" yWindow="-120" windowWidth="20640" windowHeight="11160" xr2:uid="{41EFD18B-1F89-4272-846C-D35071F0807F}"/>
  </bookViews>
  <sheets>
    <sheet name="Menu" sheetId="4" r:id="rId1"/>
    <sheet name="IndicesBancoCentral" sheetId="5" r:id="rId2"/>
    <sheet name="Resultado" sheetId="7" r:id="rId3"/>
    <sheet name="FonteDados" sheetId="6" r:id="rId4"/>
  </sheets>
  <definedNames>
    <definedName name="Acumula_Fator">#REF!</definedName>
    <definedName name="Data_fim_Carrega">#REF!</definedName>
    <definedName name="Data_inicio_Carrega">#REF!</definedName>
    <definedName name="Divide_Fator">#REF!</definedName>
    <definedName name="Fator_Nome">#REF!</definedName>
    <definedName name="N_Fato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4" l="1"/>
  <c r="B6" i="4"/>
  <c r="B5" i="4"/>
  <c r="B4" i="4"/>
</calcChain>
</file>

<file path=xl/sharedStrings.xml><?xml version="1.0" encoding="utf-8"?>
<sst xmlns="http://schemas.openxmlformats.org/spreadsheetml/2006/main" count="42" uniqueCount="29">
  <si>
    <t>Fator</t>
  </si>
  <si>
    <t>Data Inicial:</t>
  </si>
  <si>
    <t>Data Final:</t>
  </si>
  <si>
    <t>Número Fator BC</t>
  </si>
  <si>
    <t>CDI</t>
  </si>
  <si>
    <t>https://www3.bcb.gov.br/sgspub/localizarseries/localizarSeries.do?method=prepararTelaLocalizarSeries</t>
  </si>
  <si>
    <t>Divide Fator</t>
  </si>
  <si>
    <t>Acumula Fator</t>
  </si>
  <si>
    <t>CDI Anualizado</t>
  </si>
  <si>
    <t>N</t>
  </si>
  <si>
    <t>IPCA</t>
  </si>
  <si>
    <t>SELIC</t>
  </si>
  <si>
    <t>SELIC Anualizada</t>
  </si>
  <si>
    <t>IGPM</t>
  </si>
  <si>
    <t>Taxa referencial (TR)</t>
  </si>
  <si>
    <t>Unidade</t>
  </si>
  <si>
    <t>% a.d.</t>
  </si>
  <si>
    <t>% a.a.</t>
  </si>
  <si>
    <t>% a.m.</t>
  </si>
  <si>
    <t>Banco Central do Brasil</t>
  </si>
  <si>
    <t>Time Series Management System</t>
  </si>
  <si>
    <t>S</t>
  </si>
  <si>
    <t>Nome do índice:</t>
  </si>
  <si>
    <t>Código do índice no BC:</t>
  </si>
  <si>
    <t>Base do índice:</t>
  </si>
  <si>
    <t>Fator de divisão:</t>
  </si>
  <si>
    <t>Acumular índice:</t>
  </si>
  <si>
    <t>&lt;-- DropDown List</t>
  </si>
  <si>
    <t>--&gt; preenchimento automático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</si>
</sst>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1076325</xdr:colOff>
          <xdr:row>8</xdr:row>
          <xdr:rowOff>9525</xdr:rowOff>
        </xdr:from>
        <xdr:to>
          <xdr:col>3</xdr:col>
          <xdr:colOff>485775</xdr:colOff>
          <xdr:row>10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3.bcb.gov.br/sgspub/localizarseries/localizarSeries.do?method=prepararTelaLocalizarSeri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2B57C-807D-412C-938C-F2FEF8A41AB9}">
  <sheetPr codeName="Sheet4"/>
  <dimension ref="A1:C7"/>
  <sheetViews>
    <sheetView tabSelected="1" workbookViewId="0">
      <selection activeCell="C5" sqref="C5:C7"/>
    </sheetView>
  </sheetViews>
  <sheetFormatPr defaultRowHeight="15" x14ac:dyDescent="0.25"/>
  <cols>
    <col min="1" max="1" width="22.85546875" customWidth="1"/>
    <col min="2" max="2" width="13.5703125" customWidth="1"/>
  </cols>
  <sheetData>
    <row r="1" spans="1:3" x14ac:dyDescent="0.25">
      <c r="A1" t="s">
        <v>1</v>
      </c>
      <c r="B1" s="3">
        <v>44562</v>
      </c>
    </row>
    <row r="2" spans="1:3" x14ac:dyDescent="0.25">
      <c r="A2" t="s">
        <v>2</v>
      </c>
      <c r="B2" s="3">
        <v>44926</v>
      </c>
    </row>
    <row r="3" spans="1:3" x14ac:dyDescent="0.25">
      <c r="A3" t="s">
        <v>22</v>
      </c>
      <c r="B3" s="2" t="s">
        <v>4</v>
      </c>
      <c r="C3" t="s">
        <v>27</v>
      </c>
    </row>
    <row r="4" spans="1:3" x14ac:dyDescent="0.25">
      <c r="A4" t="s">
        <v>23</v>
      </c>
      <c r="B4" s="4">
        <f>IFERROR(VLOOKUP($B$3,IndicesBancoCentral!A:E,2,FALSE),"Fator Não Cadastrado")</f>
        <v>12</v>
      </c>
      <c r="C4" s="5" t="s">
        <v>28</v>
      </c>
    </row>
    <row r="5" spans="1:3" x14ac:dyDescent="0.25">
      <c r="A5" t="s">
        <v>24</v>
      </c>
      <c r="B5" s="4" t="str">
        <f>IFERROR(VLOOKUP($B$3,IndicesBancoCentral!A:E,3,FALSE),"Fator Não Cadastrado")</f>
        <v>% a.d.</v>
      </c>
      <c r="C5" s="5" t="s">
        <v>28</v>
      </c>
    </row>
    <row r="6" spans="1:3" x14ac:dyDescent="0.25">
      <c r="A6" t="s">
        <v>25</v>
      </c>
      <c r="B6" s="4">
        <f>IFERROR(VLOOKUP($B$3,IndicesBancoCentral!A:E,4,FALSE),"Fator Não Cadastrado")</f>
        <v>100</v>
      </c>
      <c r="C6" s="5" t="s">
        <v>28</v>
      </c>
    </row>
    <row r="7" spans="1:3" x14ac:dyDescent="0.25">
      <c r="A7" t="s">
        <v>26</v>
      </c>
      <c r="B7" s="4" t="str">
        <f>IFERROR(VLOOKUP($B$3,IndicesBancoCentral!A:E,5,FALSE),"Fator Não Cadastrado")</f>
        <v>S</v>
      </c>
      <c r="C7" s="5" t="s">
        <v>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ownload_dados_BC">
                <anchor moveWithCells="1" sizeWithCells="1">
                  <from>
                    <xdr:col>0</xdr:col>
                    <xdr:colOff>1076325</xdr:colOff>
                    <xdr:row>8</xdr:row>
                    <xdr:rowOff>9525</xdr:rowOff>
                  </from>
                  <to>
                    <xdr:col>3</xdr:col>
                    <xdr:colOff>485775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94E827-1DF7-4237-9499-7DC0E522D8FC}">
          <x14:formula1>
            <xm:f>OFFSET(IndicesBancoCentral!$A$2,0,0,COUNTA(IndicesBancoCentral!$A:$A))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64638-276A-4AE9-B442-FBD20692DE40}">
  <sheetPr codeName="Sheet5"/>
  <dimension ref="A1:E8"/>
  <sheetViews>
    <sheetView workbookViewId="0">
      <selection activeCell="C4" sqref="C4"/>
    </sheetView>
  </sheetViews>
  <sheetFormatPr defaultRowHeight="15" x14ac:dyDescent="0.25"/>
  <cols>
    <col min="1" max="1" width="19.42578125" style="2" bestFit="1" customWidth="1"/>
    <col min="2" max="2" width="18.28515625" style="2" customWidth="1"/>
    <col min="3" max="3" width="11.140625" style="2" customWidth="1"/>
    <col min="4" max="4" width="13.5703125" style="2" customWidth="1"/>
    <col min="5" max="5" width="13.85546875" style="2" customWidth="1"/>
  </cols>
  <sheetData>
    <row r="1" spans="1:5" x14ac:dyDescent="0.25">
      <c r="A1" t="s">
        <v>0</v>
      </c>
      <c r="B1" t="s">
        <v>3</v>
      </c>
      <c r="C1" t="s">
        <v>15</v>
      </c>
      <c r="D1" t="s">
        <v>6</v>
      </c>
      <c r="E1" t="s">
        <v>7</v>
      </c>
    </row>
    <row r="2" spans="1:5" x14ac:dyDescent="0.25">
      <c r="A2" s="2" t="s">
        <v>4</v>
      </c>
      <c r="B2" s="2">
        <v>12</v>
      </c>
      <c r="C2" s="2" t="s">
        <v>16</v>
      </c>
      <c r="D2" s="2">
        <v>100</v>
      </c>
      <c r="E2" s="2" t="s">
        <v>21</v>
      </c>
    </row>
    <row r="3" spans="1:5" x14ac:dyDescent="0.25">
      <c r="A3" s="2" t="s">
        <v>8</v>
      </c>
      <c r="B3" s="2">
        <v>4389</v>
      </c>
      <c r="C3" s="2" t="s">
        <v>17</v>
      </c>
      <c r="D3" s="2">
        <v>1</v>
      </c>
      <c r="E3" s="2" t="s">
        <v>9</v>
      </c>
    </row>
    <row r="4" spans="1:5" x14ac:dyDescent="0.25">
      <c r="A4" s="2" t="s">
        <v>10</v>
      </c>
      <c r="B4" s="2">
        <v>433</v>
      </c>
      <c r="C4" s="2" t="s">
        <v>18</v>
      </c>
      <c r="D4" s="2">
        <v>1</v>
      </c>
      <c r="E4" s="2" t="s">
        <v>9</v>
      </c>
    </row>
    <row r="5" spans="1:5" x14ac:dyDescent="0.25">
      <c r="A5" s="2" t="s">
        <v>11</v>
      </c>
      <c r="B5" s="2">
        <v>11</v>
      </c>
      <c r="C5" s="2" t="s">
        <v>16</v>
      </c>
      <c r="D5" s="2">
        <v>100</v>
      </c>
      <c r="E5" s="2" t="s">
        <v>21</v>
      </c>
    </row>
    <row r="6" spans="1:5" x14ac:dyDescent="0.25">
      <c r="A6" s="2" t="s">
        <v>12</v>
      </c>
      <c r="B6" s="2">
        <v>432</v>
      </c>
      <c r="C6" s="2" t="s">
        <v>17</v>
      </c>
      <c r="D6" s="2">
        <v>1</v>
      </c>
      <c r="E6" s="2" t="s">
        <v>9</v>
      </c>
    </row>
    <row r="7" spans="1:5" x14ac:dyDescent="0.25">
      <c r="A7" s="2" t="s">
        <v>13</v>
      </c>
      <c r="B7" s="2">
        <v>189</v>
      </c>
      <c r="C7" s="2" t="s">
        <v>18</v>
      </c>
      <c r="D7" s="2">
        <v>1</v>
      </c>
      <c r="E7" s="2" t="s">
        <v>9</v>
      </c>
    </row>
    <row r="8" spans="1:5" x14ac:dyDescent="0.25">
      <c r="A8" s="2" t="s">
        <v>14</v>
      </c>
      <c r="B8" s="2">
        <v>226</v>
      </c>
      <c r="C8" s="2" t="s">
        <v>18</v>
      </c>
      <c r="D8" s="2">
        <v>1</v>
      </c>
      <c r="E8" s="2" t="s">
        <v>9</v>
      </c>
    </row>
  </sheetData>
  <dataValidations count="1">
    <dataValidation type="list" allowBlank="1" showInputMessage="1" showErrorMessage="1" sqref="E1:E1048576" xr:uid="{FE710396-F950-43BE-A400-554610CEB802}">
      <formula1>"S,N"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6B15-5525-430A-A3BF-BDBA6FDE36B4}">
  <sheetPr codeName="Sheet7"/>
  <dimension ref="A1"/>
  <sheetViews>
    <sheetView workbookViewId="0">
      <selection activeCell="G9" sqref="G9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21D3-0637-4DA4-80EB-850AC8064742}">
  <sheetPr codeName="Sheet6"/>
  <dimension ref="A1:A3"/>
  <sheetViews>
    <sheetView workbookViewId="0">
      <selection activeCell="I13" sqref="I13"/>
    </sheetView>
  </sheetViews>
  <sheetFormatPr defaultRowHeight="15" x14ac:dyDescent="0.25"/>
  <sheetData>
    <row r="1" spans="1:1" x14ac:dyDescent="0.25">
      <c r="A1" t="s">
        <v>19</v>
      </c>
    </row>
    <row r="2" spans="1:1" x14ac:dyDescent="0.25">
      <c r="A2" t="s">
        <v>20</v>
      </c>
    </row>
    <row r="3" spans="1:1" x14ac:dyDescent="0.25">
      <c r="A3" s="1" t="s">
        <v>5</v>
      </c>
    </row>
  </sheetData>
  <hyperlinks>
    <hyperlink ref="A3" r:id="rId1" xr:uid="{3A671C6F-B3D0-46DF-91A5-CB1B61F16D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IndicesBancoCentral</vt:lpstr>
      <vt:lpstr>Resultado</vt:lpstr>
      <vt:lpstr>FonteDados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Lavrado</dc:creator>
  <cp:lastModifiedBy>Lucas Rodrigues</cp:lastModifiedBy>
  <dcterms:created xsi:type="dcterms:W3CDTF">2020-11-10T21:17:36Z</dcterms:created>
  <dcterms:modified xsi:type="dcterms:W3CDTF">2024-01-23T22:51:06Z</dcterms:modified>
</cp:coreProperties>
</file>